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k\OneDrive\Desktop\"/>
    </mc:Choice>
  </mc:AlternateContent>
  <xr:revisionPtr revIDLastSave="0" documentId="8_{89E0D5AD-BBED-471E-A2EA-2687D1C59205}" xr6:coauthVersionLast="47" xr6:coauthVersionMax="47" xr10:uidLastSave="{00000000-0000-0000-0000-000000000000}"/>
  <bookViews>
    <workbookView xWindow="-108" yWindow="-108" windowWidth="23256" windowHeight="12456" xr2:uid="{3DD69CB9-0D07-4B44-805D-943A8E6DD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P7" i="1"/>
  <c r="P6" i="1"/>
  <c r="P5" i="1"/>
  <c r="I3" i="1"/>
  <c r="I4" i="1"/>
  <c r="I5" i="1"/>
  <c r="I6" i="1"/>
  <c r="I7" i="1"/>
  <c r="I8" i="1"/>
  <c r="I9" i="1"/>
</calcChain>
</file>

<file path=xl/sharedStrings.xml><?xml version="1.0" encoding="utf-8"?>
<sst xmlns="http://schemas.openxmlformats.org/spreadsheetml/2006/main" count="50" uniqueCount="32">
  <si>
    <t>Product Name</t>
  </si>
  <si>
    <t>Product Code</t>
  </si>
  <si>
    <t>Quantity</t>
  </si>
  <si>
    <t>Region</t>
  </si>
  <si>
    <t>Price</t>
  </si>
  <si>
    <t>South</t>
  </si>
  <si>
    <t>Mobile-SMBL9265KL</t>
  </si>
  <si>
    <t>HeAdset-HFCL2568DB</t>
  </si>
  <si>
    <t>Camera-CNON723FHW</t>
  </si>
  <si>
    <t>LaP top-LRAM8256WH</t>
  </si>
  <si>
    <t>SmaRtw atch-TWFH52761K</t>
  </si>
  <si>
    <t>IrOn Box-BHTA2682WT</t>
  </si>
  <si>
    <t>North</t>
  </si>
  <si>
    <t>East</t>
  </si>
  <si>
    <t>No rth</t>
  </si>
  <si>
    <t>Ea st</t>
  </si>
  <si>
    <t>18a</t>
  </si>
  <si>
    <t>v24</t>
  </si>
  <si>
    <t xml:space="preserve">Product Name </t>
  </si>
  <si>
    <t>MOBILE</t>
  </si>
  <si>
    <t>HEADSET</t>
  </si>
  <si>
    <t>TABLET</t>
  </si>
  <si>
    <t>CAMERA</t>
  </si>
  <si>
    <t>TRIMMER</t>
  </si>
  <si>
    <t>LAPTOP</t>
  </si>
  <si>
    <t>SMARTWATCH</t>
  </si>
  <si>
    <t>Trimmer-PGTS2968LK</t>
  </si>
  <si>
    <t>Tablet-TFHC2956BL</t>
  </si>
  <si>
    <t>IRON BOX</t>
  </si>
  <si>
    <t>Standard deviation=</t>
  </si>
  <si>
    <t>Median      =</t>
  </si>
  <si>
    <t>Mean       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</si>
</sst>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0" borderId="1" xfId="0" applyFont="1" applyBorder="1"/>
    <xf numFmtId="2" fontId="0" fillId="0" borderId="1" xfId="0" applyNumberFormat="1" applyFont="1" applyBorder="1"/>
    <xf numFmtId="0" fontId="0" fillId="0" borderId="1" xfId="0" applyNumberFormat="1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B59732-CF00-40B6-9C8E-3E84E0A2C961}" name="Table1" displayName="Table1" ref="A1:D11" totalsRowShown="0" headerRowDxfId="0">
  <autoFilter ref="A1:D11" xr:uid="{07B59732-CF00-40B6-9C8E-3E84E0A2C961}">
    <filterColumn colId="0" hiddenButton="1"/>
    <filterColumn colId="1" hiddenButton="1"/>
    <filterColumn colId="2" hiddenButton="1"/>
    <filterColumn colId="3" hiddenButton="1"/>
  </autoFilter>
  <tableColumns count="4">
    <tableColumn id="1" xr3:uid="{14E2C0FB-3F52-44C4-A916-7C79EAC74600}" name="Product Name"/>
    <tableColumn id="2" xr3:uid="{348E941A-B0C9-4D76-A340-05E5910E67F6}" name="Price"/>
    <tableColumn id="3" xr3:uid="{BDE52301-76DF-4829-B225-12E0D5270204}" name="Quantity"/>
    <tableColumn id="4" xr3:uid="{E05C7C0A-D05B-46DF-B61B-067B483B7164}" name="Regi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DF9D-16F2-422B-A0A2-F471BB67E812}">
  <dimension ref="A1:P26"/>
  <sheetViews>
    <sheetView tabSelected="1" workbookViewId="0">
      <selection activeCell="O13" sqref="O13"/>
    </sheetView>
  </sheetViews>
  <sheetFormatPr defaultRowHeight="14.4" x14ac:dyDescent="0.3"/>
  <cols>
    <col min="1" max="1" width="23.109375" customWidth="1"/>
    <col min="2" max="2" width="11.88671875" customWidth="1"/>
    <col min="3" max="3" width="10.21875" customWidth="1"/>
    <col min="8" max="8" width="13.109375" customWidth="1"/>
    <col min="9" max="9" width="18" customWidth="1"/>
    <col min="15" max="15" width="17.5546875" customWidth="1"/>
  </cols>
  <sheetData>
    <row r="1" spans="1:16" x14ac:dyDescent="0.3">
      <c r="A1" s="2" t="s">
        <v>0</v>
      </c>
      <c r="B1" s="2" t="s">
        <v>4</v>
      </c>
      <c r="C1" s="2" t="s">
        <v>2</v>
      </c>
      <c r="D1" s="2" t="s">
        <v>3</v>
      </c>
      <c r="H1" s="9" t="s">
        <v>18</v>
      </c>
      <c r="I1" s="9" t="s">
        <v>1</v>
      </c>
      <c r="J1" s="9" t="s">
        <v>4</v>
      </c>
      <c r="K1" s="9" t="s">
        <v>2</v>
      </c>
      <c r="L1" s="9" t="s">
        <v>3</v>
      </c>
    </row>
    <row r="2" spans="1:16" x14ac:dyDescent="0.3">
      <c r="A2" t="s">
        <v>9</v>
      </c>
      <c r="B2">
        <v>25000</v>
      </c>
      <c r="C2">
        <v>20</v>
      </c>
      <c r="D2" s="3" t="s">
        <v>5</v>
      </c>
      <c r="H2" s="5" t="s">
        <v>24</v>
      </c>
      <c r="I2" s="5" t="str">
        <f>RIGHT(Table1[[#This Row],[Product Name]],10)</f>
        <v>LRAM8256WH</v>
      </c>
      <c r="J2" s="6">
        <v>25000</v>
      </c>
      <c r="K2" s="6">
        <v>20</v>
      </c>
      <c r="L2" s="7" t="s">
        <v>5</v>
      </c>
    </row>
    <row r="3" spans="1:16" x14ac:dyDescent="0.3">
      <c r="A3" t="s">
        <v>6</v>
      </c>
      <c r="B3">
        <v>36000</v>
      </c>
      <c r="C3">
        <v>12</v>
      </c>
      <c r="D3" t="s">
        <v>5</v>
      </c>
      <c r="H3" s="5" t="s">
        <v>19</v>
      </c>
      <c r="I3" s="5" t="str">
        <f>RIGHT(Table1[[#This Row],[Product Name]],10)</f>
        <v>SMBL9265KL</v>
      </c>
      <c r="J3" s="6">
        <v>36000</v>
      </c>
      <c r="K3" s="6">
        <v>12</v>
      </c>
      <c r="L3" s="6" t="s">
        <v>5</v>
      </c>
    </row>
    <row r="4" spans="1:16" x14ac:dyDescent="0.3">
      <c r="A4" t="s">
        <v>7</v>
      </c>
      <c r="B4">
        <v>2500</v>
      </c>
      <c r="C4" t="s">
        <v>17</v>
      </c>
      <c r="D4" t="s">
        <v>14</v>
      </c>
      <c r="H4" s="5" t="s">
        <v>20</v>
      </c>
      <c r="I4" s="5" t="str">
        <f>RIGHT(Table1[[#This Row],[Product Name]],10)</f>
        <v>HFCL2568DB</v>
      </c>
      <c r="J4" s="6">
        <v>2500</v>
      </c>
      <c r="K4" s="6">
        <v>24</v>
      </c>
      <c r="L4" s="6" t="s">
        <v>12</v>
      </c>
    </row>
    <row r="5" spans="1:16" x14ac:dyDescent="0.3">
      <c r="A5" t="s">
        <v>27</v>
      </c>
      <c r="B5" s="4">
        <v>12000</v>
      </c>
      <c r="C5">
        <v>11</v>
      </c>
      <c r="D5" t="s">
        <v>5</v>
      </c>
      <c r="H5" s="5" t="s">
        <v>21</v>
      </c>
      <c r="I5" s="5" t="str">
        <f>RIGHT(Table1[[#This Row],[Product Name]],10)</f>
        <v>TFHC2956BL</v>
      </c>
      <c r="J5" s="8">
        <v>12000</v>
      </c>
      <c r="K5" s="6">
        <v>11</v>
      </c>
      <c r="L5" s="6" t="s">
        <v>5</v>
      </c>
      <c r="O5" s="1" t="s">
        <v>31</v>
      </c>
      <c r="P5" s="1">
        <f>AVERAGE(J2:J9)</f>
        <v>20175</v>
      </c>
    </row>
    <row r="6" spans="1:16" x14ac:dyDescent="0.3">
      <c r="A6" t="s">
        <v>10</v>
      </c>
      <c r="B6">
        <v>48000</v>
      </c>
      <c r="C6">
        <v>16</v>
      </c>
      <c r="D6" t="s">
        <v>12</v>
      </c>
      <c r="H6" s="5" t="s">
        <v>25</v>
      </c>
      <c r="I6" s="5" t="str">
        <f>RIGHT(Table1[[#This Row],[Product Name]],10)</f>
        <v>TWFH52761K</v>
      </c>
      <c r="J6" s="6">
        <v>48000</v>
      </c>
      <c r="K6" s="6">
        <v>16</v>
      </c>
      <c r="L6" s="6" t="s">
        <v>12</v>
      </c>
      <c r="O6" s="1" t="s">
        <v>30</v>
      </c>
      <c r="P6" s="1">
        <f>MEDIAN(J2:J9)</f>
        <v>18500</v>
      </c>
    </row>
    <row r="7" spans="1:16" x14ac:dyDescent="0.3">
      <c r="A7" t="s">
        <v>8</v>
      </c>
      <c r="B7">
        <v>35000</v>
      </c>
      <c r="C7">
        <v>10</v>
      </c>
      <c r="D7" t="s">
        <v>12</v>
      </c>
      <c r="H7" s="5" t="s">
        <v>22</v>
      </c>
      <c r="I7" s="5" t="str">
        <f>RIGHT(Table1[[#This Row],[Product Name]],10)</f>
        <v>CNON723FHW</v>
      </c>
      <c r="J7" s="6">
        <v>35000</v>
      </c>
      <c r="K7" s="6">
        <v>10</v>
      </c>
      <c r="L7" s="6" t="s">
        <v>12</v>
      </c>
      <c r="O7" s="1" t="s">
        <v>29</v>
      </c>
      <c r="P7" s="1">
        <f>_xlfn.STDEV.P(J2:J9)</f>
        <v>17133.063794896698</v>
      </c>
    </row>
    <row r="8" spans="1:16" x14ac:dyDescent="0.3">
      <c r="A8" t="s">
        <v>26</v>
      </c>
      <c r="B8" s="4">
        <v>1700</v>
      </c>
      <c r="C8">
        <v>13</v>
      </c>
      <c r="D8" t="s">
        <v>15</v>
      </c>
      <c r="H8" s="5" t="s">
        <v>23</v>
      </c>
      <c r="I8" s="5" t="str">
        <f>RIGHT(Table1[[#This Row],[Product Name]],10)</f>
        <v>PGTS2968LK</v>
      </c>
      <c r="J8" s="8">
        <v>1700</v>
      </c>
      <c r="K8" s="6">
        <v>13</v>
      </c>
      <c r="L8" s="6" t="s">
        <v>13</v>
      </c>
    </row>
    <row r="9" spans="1:16" x14ac:dyDescent="0.3">
      <c r="A9" t="s">
        <v>11</v>
      </c>
      <c r="B9">
        <v>1200</v>
      </c>
      <c r="C9" t="s">
        <v>16</v>
      </c>
      <c r="D9" t="s">
        <v>13</v>
      </c>
      <c r="H9" s="5" t="s">
        <v>28</v>
      </c>
      <c r="I9" s="5" t="str">
        <f>RIGHT(Table1[[#This Row],[Product Name]],10)</f>
        <v>BHTA2682WT</v>
      </c>
      <c r="J9" s="6">
        <v>1200</v>
      </c>
      <c r="K9" s="6">
        <v>18</v>
      </c>
      <c r="L9" s="6" t="s">
        <v>13</v>
      </c>
    </row>
    <row r="10" spans="1:16" x14ac:dyDescent="0.3">
      <c r="A10" t="s">
        <v>9</v>
      </c>
      <c r="B10">
        <v>25000</v>
      </c>
      <c r="C10">
        <v>20</v>
      </c>
      <c r="D10" s="3" t="s">
        <v>5</v>
      </c>
      <c r="H10" s="5"/>
      <c r="I10" s="5"/>
      <c r="J10" s="5"/>
      <c r="K10" s="5"/>
      <c r="L10" s="5"/>
    </row>
    <row r="11" spans="1:16" x14ac:dyDescent="0.3">
      <c r="A11" t="s">
        <v>8</v>
      </c>
      <c r="B11">
        <v>35000</v>
      </c>
      <c r="C11">
        <v>10</v>
      </c>
      <c r="D11" t="s">
        <v>12</v>
      </c>
      <c r="H11" s="5"/>
      <c r="I11" s="5"/>
      <c r="J11" s="5"/>
      <c r="K11" s="5"/>
      <c r="L11" s="5"/>
    </row>
    <row r="12" spans="1:16" x14ac:dyDescent="0.3">
      <c r="H12" s="5"/>
      <c r="I12" s="5"/>
      <c r="J12" s="5"/>
      <c r="K12" s="5"/>
      <c r="L12" s="5"/>
    </row>
    <row r="13" spans="1:16" x14ac:dyDescent="0.3">
      <c r="H13" s="5"/>
      <c r="I13" s="5"/>
      <c r="J13" s="5"/>
      <c r="K13" s="5"/>
      <c r="L13" s="5"/>
    </row>
    <row r="14" spans="1:16" x14ac:dyDescent="0.3">
      <c r="H14" s="5"/>
      <c r="I14" s="5"/>
      <c r="J14" s="5"/>
      <c r="K14" s="5"/>
      <c r="L14" s="5"/>
    </row>
    <row r="15" spans="1:16" x14ac:dyDescent="0.3">
      <c r="H15" s="5"/>
      <c r="I15" s="5"/>
      <c r="J15" s="5"/>
      <c r="K15" s="5"/>
      <c r="L15" s="5"/>
    </row>
    <row r="16" spans="1:16" x14ac:dyDescent="0.3">
      <c r="H16" s="5"/>
      <c r="I16" s="5"/>
      <c r="J16" s="5"/>
      <c r="K16" s="5"/>
      <c r="L16" s="5"/>
    </row>
    <row r="17" spans="8:12" x14ac:dyDescent="0.3">
      <c r="H17" s="5"/>
      <c r="I17" s="5"/>
      <c r="J17" s="5"/>
      <c r="K17" s="5"/>
      <c r="L17" s="5"/>
    </row>
    <row r="18" spans="8:12" x14ac:dyDescent="0.3">
      <c r="H18" s="5"/>
      <c r="I18" s="5"/>
      <c r="J18" s="5"/>
      <c r="K18" s="5"/>
      <c r="L18" s="5"/>
    </row>
    <row r="19" spans="8:12" x14ac:dyDescent="0.3">
      <c r="H19" s="5"/>
      <c r="I19" s="5"/>
      <c r="J19" s="5"/>
      <c r="K19" s="5"/>
      <c r="L19" s="5"/>
    </row>
    <row r="20" spans="8:12" x14ac:dyDescent="0.3">
      <c r="H20" s="5"/>
      <c r="I20" s="5"/>
      <c r="J20" s="5"/>
      <c r="K20" s="5"/>
      <c r="L20" s="5"/>
    </row>
    <row r="21" spans="8:12" x14ac:dyDescent="0.3">
      <c r="H21" s="5"/>
      <c r="I21" s="5"/>
      <c r="J21" s="5"/>
      <c r="K21" s="5"/>
      <c r="L21" s="5"/>
    </row>
    <row r="22" spans="8:12" x14ac:dyDescent="0.3">
      <c r="H22" s="5"/>
      <c r="I22" s="5"/>
      <c r="J22" s="5"/>
      <c r="K22" s="5"/>
      <c r="L22" s="5"/>
    </row>
    <row r="23" spans="8:12" x14ac:dyDescent="0.3">
      <c r="H23" s="5"/>
      <c r="I23" s="5"/>
      <c r="J23" s="5"/>
      <c r="K23" s="5"/>
      <c r="L23" s="5"/>
    </row>
    <row r="24" spans="8:12" x14ac:dyDescent="0.3">
      <c r="H24" s="5"/>
      <c r="I24" s="5"/>
      <c r="J24" s="5"/>
      <c r="K24" s="5"/>
      <c r="L24" s="5"/>
    </row>
    <row r="25" spans="8:12" x14ac:dyDescent="0.3">
      <c r="H25" s="5"/>
      <c r="I25" s="5"/>
      <c r="J25" s="5"/>
      <c r="K25" s="5"/>
      <c r="L25" s="5"/>
    </row>
    <row r="26" spans="8:12" x14ac:dyDescent="0.3">
      <c r="H26" s="5"/>
      <c r="I26" s="5"/>
      <c r="J26" s="5"/>
      <c r="K26" s="5"/>
      <c r="L26" s="5"/>
    </row>
  </sheetData>
  <dataValidations count="2">
    <dataValidation type="textLength" allowBlank="1" showInputMessage="1" showErrorMessage="1" promptTitle="Pro.code between 5 to 10" prompt="Pro.code between 5 to 10" sqref="I2:I21 I23:I26" xr:uid="{969B1078-5A4B-4F51-89A6-57425600A8E2}">
      <formula1>5</formula1>
      <formula2>10</formula2>
    </dataValidation>
    <dataValidation type="textLength" allowBlank="1" showInputMessage="1" showErrorMessage="1" promptTitle="Product code" prompt="Pro.code between 5 to 10" sqref="I22" xr:uid="{9D661CB8-7493-49C2-A00C-1911E8DC17DD}">
      <formula1>5</formula1>
      <formula2>10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 V A</dc:creator>
  <cp:lastModifiedBy>Vishak V A</cp:lastModifiedBy>
  <dcterms:created xsi:type="dcterms:W3CDTF">2026-02-01T08:46:09Z</dcterms:created>
  <dcterms:modified xsi:type="dcterms:W3CDTF">2026-02-01T10:42:59Z</dcterms:modified>
</cp:coreProperties>
</file>